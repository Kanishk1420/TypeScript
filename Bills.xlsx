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ersons/person.xml" ContentType="application/vnd.ms-excel.person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corptb-my.sharepoint.com/personal/dileepk_tbdir_net/Documents/Pictures/Screenshots/"/>
    </mc:Choice>
  </mc:AlternateContent>
  <xr:revisionPtr revIDLastSave="149" documentId="8_{CDA20832-5C95-424A-B5E0-76FA19A7ABC2}" xr6:coauthVersionLast="47" xr6:coauthVersionMax="47" xr10:uidLastSave="{F5D725D1-D465-490E-A583-E6666D5C5CE7}"/>
  <bookViews>
    <workbookView xWindow="-23148" yWindow="-108" windowWidth="23256" windowHeight="12456" xr2:uid="{A835DA3A-CC3D-45EF-8CB7-261EF5AC843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2" i="1" l="1"/>
  <c r="D12" i="1" s="1"/>
  <c r="D11" i="1"/>
  <c r="D10" i="1"/>
  <c r="D9" i="1"/>
  <c r="D8" i="1"/>
  <c r="D7" i="1"/>
  <c r="D6" i="1"/>
  <c r="D5" i="1"/>
  <c r="D4" i="1"/>
  <c r="D3" i="1"/>
  <c r="B12" i="1"/>
</calcChain>
</file>

<file path=xl/sharedStrings.xml><?xml version="1.0" encoding="utf-8"?>
<sst xmlns="http://schemas.openxmlformats.org/spreadsheetml/2006/main" count="15" uniqueCount="15">
  <si>
    <t>Payments</t>
  </si>
  <si>
    <t xml:space="preserve"> Month</t>
  </si>
  <si>
    <t>Jan</t>
  </si>
  <si>
    <t>Feb</t>
  </si>
  <si>
    <t>March</t>
  </si>
  <si>
    <t xml:space="preserve">       Amount Received</t>
  </si>
  <si>
    <t xml:space="preserve">    Amount paid </t>
  </si>
  <si>
    <t>April</t>
  </si>
  <si>
    <t>May</t>
  </si>
  <si>
    <t xml:space="preserve">                 Difference left      </t>
  </si>
  <si>
    <t>Total</t>
  </si>
  <si>
    <t>June</t>
  </si>
  <si>
    <t>Dec</t>
  </si>
  <si>
    <t>July</t>
  </si>
  <si>
    <t>Front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</si>
</sst>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b/>
      <sz val="11"/>
      <color rgb="FFFA7D00"/>
      <name val="Aptos Narrow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2F2F2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5" tint="0.59999389629810485"/>
        <bgColor indexed="65"/>
      </patternFill>
    </fill>
  </fills>
  <borders count="2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</borders>
  <cellStyleXfs count="7">
    <xf numFmtId="0" fontId="0" fillId="0" borderId="0"/>
    <xf numFmtId="0" fontId="2" fillId="2" borderId="0" applyNumberFormat="0" applyBorder="0" applyAlignment="0" applyProtection="0"/>
    <xf numFmtId="0" fontId="3" fillId="3" borderId="0" applyNumberFormat="0" applyBorder="0" applyAlignment="0" applyProtection="0"/>
    <xf numFmtId="0" fontId="4" fillId="4" borderId="0" applyNumberFormat="0" applyBorder="0" applyAlignment="0" applyProtection="0"/>
    <xf numFmtId="0" fontId="5" fillId="5" borderId="1" applyNumberFormat="0" applyAlignment="0" applyProtection="0"/>
    <xf numFmtId="0" fontId="1" fillId="6" borderId="0" applyNumberFormat="0" applyBorder="0" applyAlignment="0" applyProtection="0"/>
    <xf numFmtId="0" fontId="1" fillId="7" borderId="0" applyNumberFormat="0" applyBorder="0" applyAlignment="0" applyProtection="0"/>
  </cellStyleXfs>
  <cellXfs count="14">
    <xf numFmtId="0" fontId="0" fillId="0" borderId="0" xfId="0"/>
    <xf numFmtId="0" fontId="5" fillId="5" borderId="1" xfId="4"/>
    <xf numFmtId="3" fontId="5" fillId="5" borderId="1" xfId="4" applyNumberFormat="1"/>
    <xf numFmtId="3" fontId="2" fillId="2" borderId="0" xfId="1" applyNumberFormat="1"/>
    <xf numFmtId="0" fontId="1" fillId="6" borderId="0" xfId="5"/>
    <xf numFmtId="0" fontId="3" fillId="3" borderId="0" xfId="2"/>
    <xf numFmtId="3" fontId="3" fillId="3" borderId="0" xfId="2" applyNumberFormat="1"/>
    <xf numFmtId="3" fontId="4" fillId="4" borderId="0" xfId="3" applyNumberFormat="1"/>
    <xf numFmtId="3" fontId="3" fillId="3" borderId="0" xfId="2" applyNumberFormat="1" applyAlignment="1">
      <alignment horizontal="right"/>
    </xf>
    <xf numFmtId="0" fontId="0" fillId="6" borderId="0" xfId="5" applyFont="1"/>
    <xf numFmtId="3" fontId="1" fillId="7" borderId="0" xfId="6" applyNumberFormat="1"/>
    <xf numFmtId="3" fontId="1" fillId="7" borderId="0" xfId="6" applyNumberFormat="1" applyAlignment="1">
      <alignment horizontal="right"/>
    </xf>
    <xf numFmtId="0" fontId="0" fillId="7" borderId="0" xfId="6" applyFont="1"/>
    <xf numFmtId="3" fontId="5" fillId="5" borderId="1" xfId="4" applyNumberFormat="1" applyAlignment="1">
      <alignment horizontal="right"/>
    </xf>
  </cellXfs>
  <cellStyles count="7">
    <cellStyle name="40% - Accent1" xfId="5" builtinId="31"/>
    <cellStyle name="40% - Accent2" xfId="6" builtinId="35"/>
    <cellStyle name="Bad" xfId="2" builtinId="27"/>
    <cellStyle name="Calculation" xfId="4" builtinId="22"/>
    <cellStyle name="Good" xfId="1" builtinId="26"/>
    <cellStyle name="Neutral" xfId="3" builtinId="28"/>
    <cellStyle name="Normal" xfId="0" builtinId="0"/>
  </cellStyles>
  <dxfs count="0"/>
  <tableStyles count="0" defaultTableStyle="TableStyleMedium2" defaultPivotStyle="PivotStyleLight16"/>
  <colors>
    <mruColors>
      <color rgb="FFFF3300"/>
      <color rgb="FFFFCC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IN"/>
              <a:t>Payments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Sheet1!$B$2</c:f>
              <c:strCache>
                <c:ptCount val="1"/>
                <c:pt idx="0">
                  <c:v>    Amount paid </c:v>
                </c:pt>
              </c:strCache>
            </c:strRef>
          </c:tx>
          <c:spPr>
            <a:gradFill flip="none" rotWithShape="1">
              <a:gsLst>
                <a:gs pos="0">
                  <a:srgbClr val="FFCC00">
                    <a:shade val="30000"/>
                    <a:satMod val="115000"/>
                  </a:srgbClr>
                </a:gs>
                <a:gs pos="50000">
                  <a:srgbClr val="FFCC00">
                    <a:shade val="67500"/>
                    <a:satMod val="115000"/>
                  </a:srgbClr>
                </a:gs>
                <a:gs pos="100000">
                  <a:srgbClr val="FFCC00">
                    <a:shade val="100000"/>
                    <a:satMod val="115000"/>
                  </a:srgbClr>
                </a:gs>
              </a:gsLst>
              <a:lin ang="2700000" scaled="1"/>
              <a:tileRect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Sheet1!$A$3:$A$11</c:f>
              <c:strCache>
                <c:ptCount val="9"/>
                <c:pt idx="0">
                  <c:v>Dec</c:v>
                </c:pt>
                <c:pt idx="1">
                  <c:v>Jan</c:v>
                </c:pt>
                <c:pt idx="2">
                  <c:v>Feb</c:v>
                </c:pt>
                <c:pt idx="3">
                  <c:v>March</c:v>
                </c:pt>
                <c:pt idx="4">
                  <c:v>April</c:v>
                </c:pt>
                <c:pt idx="5">
                  <c:v>May</c:v>
                </c:pt>
                <c:pt idx="6">
                  <c:v>June</c:v>
                </c:pt>
                <c:pt idx="7">
                  <c:v>July</c:v>
                </c:pt>
                <c:pt idx="8">
                  <c:v>Front</c:v>
                </c:pt>
              </c:strCache>
            </c:strRef>
          </c:cat>
          <c:val>
            <c:numRef>
              <c:f>Sheet1!$B$3:$B$11</c:f>
              <c:numCache>
                <c:formatCode>#,##0</c:formatCode>
                <c:ptCount val="9"/>
                <c:pt idx="0">
                  <c:v>2285</c:v>
                </c:pt>
                <c:pt idx="1">
                  <c:v>2285</c:v>
                </c:pt>
                <c:pt idx="2">
                  <c:v>2285</c:v>
                </c:pt>
                <c:pt idx="3">
                  <c:v>2285</c:v>
                </c:pt>
                <c:pt idx="4">
                  <c:v>4570</c:v>
                </c:pt>
                <c:pt idx="5">
                  <c:v>8980</c:v>
                </c:pt>
                <c:pt idx="6">
                  <c:v>6894</c:v>
                </c:pt>
                <c:pt idx="7">
                  <c:v>2345</c:v>
                </c:pt>
                <c:pt idx="8">
                  <c:v>2000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AE3-49D5-9AA2-9FA00E2516A6}"/>
            </c:ext>
          </c:extLst>
        </c:ser>
        <c:ser>
          <c:idx val="1"/>
          <c:order val="1"/>
          <c:tx>
            <c:strRef>
              <c:f>Sheet1!$C$2</c:f>
              <c:strCache>
                <c:ptCount val="1"/>
                <c:pt idx="0">
                  <c:v>       Amount Received</c:v>
                </c:pt>
              </c:strCache>
            </c:strRef>
          </c:tx>
          <c:spPr>
            <a:gradFill flip="none" rotWithShape="1">
              <a:gsLst>
                <a:gs pos="0">
                  <a:schemeClr val="accent3">
                    <a:lumMod val="40000"/>
                    <a:lumOff val="60000"/>
                    <a:shade val="30000"/>
                    <a:satMod val="115000"/>
                  </a:schemeClr>
                </a:gs>
                <a:gs pos="50000">
                  <a:schemeClr val="accent3">
                    <a:lumMod val="40000"/>
                    <a:lumOff val="60000"/>
                    <a:shade val="67500"/>
                    <a:satMod val="115000"/>
                  </a:schemeClr>
                </a:gs>
                <a:gs pos="100000">
                  <a:schemeClr val="accent3">
                    <a:lumMod val="40000"/>
                    <a:lumOff val="60000"/>
                    <a:shade val="100000"/>
                    <a:satMod val="115000"/>
                  </a:schemeClr>
                </a:gs>
              </a:gsLst>
              <a:lin ang="2700000" scaled="1"/>
              <a:tileRect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Sheet1!$A$3:$A$11</c:f>
              <c:strCache>
                <c:ptCount val="9"/>
                <c:pt idx="0">
                  <c:v>Dec</c:v>
                </c:pt>
                <c:pt idx="1">
                  <c:v>Jan</c:v>
                </c:pt>
                <c:pt idx="2">
                  <c:v>Feb</c:v>
                </c:pt>
                <c:pt idx="3">
                  <c:v>March</c:v>
                </c:pt>
                <c:pt idx="4">
                  <c:v>April</c:v>
                </c:pt>
                <c:pt idx="5">
                  <c:v>May</c:v>
                </c:pt>
                <c:pt idx="6">
                  <c:v>June</c:v>
                </c:pt>
                <c:pt idx="7">
                  <c:v>July</c:v>
                </c:pt>
                <c:pt idx="8">
                  <c:v>Front</c:v>
                </c:pt>
              </c:strCache>
            </c:strRef>
          </c:cat>
          <c:val>
            <c:numRef>
              <c:f>Sheet1!$C$3:$C$11</c:f>
              <c:numCache>
                <c:formatCode>#,##0</c:formatCode>
                <c:ptCount val="9"/>
                <c:pt idx="0">
                  <c:v>2100</c:v>
                </c:pt>
                <c:pt idx="1">
                  <c:v>2087</c:v>
                </c:pt>
                <c:pt idx="2">
                  <c:v>2300</c:v>
                </c:pt>
                <c:pt idx="3">
                  <c:v>0</c:v>
                </c:pt>
                <c:pt idx="4">
                  <c:v>1900</c:v>
                </c:pt>
                <c:pt idx="5">
                  <c:v>4200</c:v>
                </c:pt>
                <c:pt idx="6">
                  <c:v>2240</c:v>
                </c:pt>
                <c:pt idx="7">
                  <c:v>0</c:v>
                </c:pt>
                <c:pt idx="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AE3-49D5-9AA2-9FA00E2516A6}"/>
            </c:ext>
          </c:extLst>
        </c:ser>
        <c:ser>
          <c:idx val="2"/>
          <c:order val="2"/>
          <c:tx>
            <c:strRef>
              <c:f>Sheet1!$D$2</c:f>
              <c:strCache>
                <c:ptCount val="1"/>
                <c:pt idx="0">
                  <c:v>                 Difference left      </c:v>
                </c:pt>
              </c:strCache>
            </c:strRef>
          </c:tx>
          <c:spPr>
            <a:gradFill flip="none" rotWithShape="1">
              <a:gsLst>
                <a:gs pos="0">
                  <a:srgbClr val="FF0000">
                    <a:shade val="30000"/>
                    <a:satMod val="115000"/>
                  </a:srgbClr>
                </a:gs>
                <a:gs pos="50000">
                  <a:srgbClr val="FF0000">
                    <a:shade val="67500"/>
                    <a:satMod val="115000"/>
                  </a:srgbClr>
                </a:gs>
                <a:gs pos="100000">
                  <a:srgbClr val="FF0000">
                    <a:shade val="100000"/>
                    <a:satMod val="115000"/>
                  </a:srgbClr>
                </a:gs>
              </a:gsLst>
              <a:lin ang="5400000" scaled="1"/>
              <a:tileRect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Sheet1!$A$3:$A$11</c:f>
              <c:strCache>
                <c:ptCount val="9"/>
                <c:pt idx="0">
                  <c:v>Dec</c:v>
                </c:pt>
                <c:pt idx="1">
                  <c:v>Jan</c:v>
                </c:pt>
                <c:pt idx="2">
                  <c:v>Feb</c:v>
                </c:pt>
                <c:pt idx="3">
                  <c:v>March</c:v>
                </c:pt>
                <c:pt idx="4">
                  <c:v>April</c:v>
                </c:pt>
                <c:pt idx="5">
                  <c:v>May</c:v>
                </c:pt>
                <c:pt idx="6">
                  <c:v>June</c:v>
                </c:pt>
                <c:pt idx="7">
                  <c:v>July</c:v>
                </c:pt>
                <c:pt idx="8">
                  <c:v>Front</c:v>
                </c:pt>
              </c:strCache>
            </c:strRef>
          </c:cat>
          <c:val>
            <c:numRef>
              <c:f>Sheet1!$D$3:$D$11</c:f>
              <c:numCache>
                <c:formatCode>General</c:formatCode>
                <c:ptCount val="9"/>
                <c:pt idx="0">
                  <c:v>185</c:v>
                </c:pt>
                <c:pt idx="1">
                  <c:v>198</c:v>
                </c:pt>
                <c:pt idx="2" formatCode="#,##0">
                  <c:v>15</c:v>
                </c:pt>
                <c:pt idx="3">
                  <c:v>2285</c:v>
                </c:pt>
                <c:pt idx="4">
                  <c:v>2670</c:v>
                </c:pt>
                <c:pt idx="5" formatCode="#,##0">
                  <c:v>4780</c:v>
                </c:pt>
                <c:pt idx="6" formatCode="#,##0">
                  <c:v>4654</c:v>
                </c:pt>
                <c:pt idx="7" formatCode="#,##0">
                  <c:v>2345</c:v>
                </c:pt>
                <c:pt idx="8" formatCode="#,##0">
                  <c:v>2000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D2E-42A5-AD17-003F0ED3FF0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overlap val="-24"/>
        <c:axId val="1119409136"/>
        <c:axId val="1119408656"/>
      </c:barChart>
      <c:catAx>
        <c:axId val="111940913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19408656"/>
        <c:crosses val="autoZero"/>
        <c:auto val="1"/>
        <c:lblAlgn val="ctr"/>
        <c:lblOffset val="100"/>
        <c:noMultiLvlLbl val="0"/>
      </c:catAx>
      <c:valAx>
        <c:axId val="11194086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1940913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9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lt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lt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967740</xdr:colOff>
      <xdr:row>0</xdr:row>
      <xdr:rowOff>163830</xdr:rowOff>
    </xdr:from>
    <xdr:to>
      <xdr:col>15</xdr:col>
      <xdr:colOff>91440</xdr:colOff>
      <xdr:row>23</xdr:row>
      <xdr:rowOff>60960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1296857-3FC7-D3F6-9445-BB297920E43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C611C9-3E3D-437E-8F46-70037334C739}">
  <dimension ref="A1:D12"/>
  <sheetViews>
    <sheetView tabSelected="1" workbookViewId="0">
      <selection activeCell="B9" sqref="B9"/>
    </sheetView>
  </sheetViews>
  <sheetFormatPr defaultRowHeight="14.4" x14ac:dyDescent="0.3"/>
  <cols>
    <col min="1" max="1" width="11.33203125" customWidth="1"/>
    <col min="2" max="2" width="14.88671875" customWidth="1"/>
    <col min="3" max="3" width="20.33203125" customWidth="1"/>
    <col min="4" max="4" width="24.77734375" customWidth="1"/>
    <col min="5" max="5" width="14.5546875" customWidth="1"/>
  </cols>
  <sheetData>
    <row r="1" spans="1:4" x14ac:dyDescent="0.3">
      <c r="B1" t="s">
        <v>0</v>
      </c>
    </row>
    <row r="2" spans="1:4" x14ac:dyDescent="0.3">
      <c r="A2" s="1" t="s">
        <v>1</v>
      </c>
      <c r="B2" s="1" t="s">
        <v>6</v>
      </c>
      <c r="C2" s="1" t="s">
        <v>5</v>
      </c>
      <c r="D2" s="1" t="s">
        <v>9</v>
      </c>
    </row>
    <row r="3" spans="1:4" x14ac:dyDescent="0.3">
      <c r="A3" s="9" t="s">
        <v>12</v>
      </c>
      <c r="B3" s="7">
        <v>2285</v>
      </c>
      <c r="C3" s="3">
        <v>2100</v>
      </c>
      <c r="D3" s="5">
        <f>ABS(B3-C3)</f>
        <v>185</v>
      </c>
    </row>
    <row r="4" spans="1:4" x14ac:dyDescent="0.3">
      <c r="A4" s="4" t="s">
        <v>2</v>
      </c>
      <c r="B4" s="7">
        <v>2285</v>
      </c>
      <c r="C4" s="3">
        <v>2087</v>
      </c>
      <c r="D4" s="5">
        <f>ABS(B4-C4)</f>
        <v>198</v>
      </c>
    </row>
    <row r="5" spans="1:4" x14ac:dyDescent="0.3">
      <c r="A5" s="4" t="s">
        <v>3</v>
      </c>
      <c r="B5" s="7">
        <v>2285</v>
      </c>
      <c r="C5" s="3">
        <v>2300</v>
      </c>
      <c r="D5" s="6">
        <f>ABS(B5-C5)</f>
        <v>15</v>
      </c>
    </row>
    <row r="6" spans="1:4" x14ac:dyDescent="0.3">
      <c r="A6" s="4" t="s">
        <v>4</v>
      </c>
      <c r="B6" s="7">
        <v>2285</v>
      </c>
      <c r="C6" s="3">
        <v>0</v>
      </c>
      <c r="D6" s="5">
        <f>ABS(B6-C6)</f>
        <v>2285</v>
      </c>
    </row>
    <row r="7" spans="1:4" x14ac:dyDescent="0.3">
      <c r="A7" s="4" t="s">
        <v>7</v>
      </c>
      <c r="B7" s="7">
        <v>4570</v>
      </c>
      <c r="C7" s="3">
        <v>1900</v>
      </c>
      <c r="D7" s="5">
        <f>ABS(B7-C7)</f>
        <v>2670</v>
      </c>
    </row>
    <row r="8" spans="1:4" x14ac:dyDescent="0.3">
      <c r="A8" s="4" t="s">
        <v>8</v>
      </c>
      <c r="B8" s="7">
        <v>8980</v>
      </c>
      <c r="C8" s="3">
        <v>4200</v>
      </c>
      <c r="D8" s="8">
        <f>ABS(B8-C8)</f>
        <v>4780</v>
      </c>
    </row>
    <row r="9" spans="1:4" x14ac:dyDescent="0.3">
      <c r="A9" s="9" t="s">
        <v>11</v>
      </c>
      <c r="B9" s="7">
        <v>6894</v>
      </c>
      <c r="C9" s="3">
        <v>2240</v>
      </c>
      <c r="D9" s="8">
        <f>ABS(B9-C9)</f>
        <v>4654</v>
      </c>
    </row>
    <row r="10" spans="1:4" x14ac:dyDescent="0.3">
      <c r="A10" s="9" t="s">
        <v>13</v>
      </c>
      <c r="B10" s="7">
        <v>2345</v>
      </c>
      <c r="C10" s="3">
        <v>0</v>
      </c>
      <c r="D10" s="8">
        <f>ABS(B10-C10)</f>
        <v>2345</v>
      </c>
    </row>
    <row r="11" spans="1:4" x14ac:dyDescent="0.3">
      <c r="A11" s="12" t="s">
        <v>14</v>
      </c>
      <c r="B11" s="10">
        <v>2000</v>
      </c>
      <c r="C11" s="10">
        <v>0</v>
      </c>
      <c r="D11" s="11">
        <f>ABS(B11-C11)</f>
        <v>2000</v>
      </c>
    </row>
    <row r="12" spans="1:4" x14ac:dyDescent="0.3">
      <c r="A12" s="1" t="s">
        <v>10</v>
      </c>
      <c r="B12" s="2">
        <f>SUM(B3:B11)</f>
        <v>33929</v>
      </c>
      <c r="C12" s="2">
        <f>SUM(C3:C11)</f>
        <v>14827</v>
      </c>
      <c r="D12" s="13">
        <f>ABS(B12- C12)</f>
        <v>19102</v>
      </c>
    </row>
  </sheetData>
  <pageMargins left="0.7" right="0.7" top="0.75" bottom="0.75" header="0.3" footer="0.3"/>
  <pageSetup orientation="portrait" r:id="rId1"/>
  <drawing r:id="rId2"/>
</worksheet>
</file>

<file path=docMetadata/LabelInfo.xml><?xml version="1.0" encoding="utf-8"?>
<clbl:labelList xmlns:clbl="http://schemas.microsoft.com/office/2020/mipLabelMetadata">
  <clbl:label id="{b97ea58d-47e6-47cc-9ab7-39ab03def869}" enabled="1" method="Standard" siteId="{505cca53-5750-4134-9501-8d52d5df3cd1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Daimler Truck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Dileep, Kanishk (893)</dc:creator>
  <cp:lastModifiedBy>Dileep, Kanishk (893)</cp:lastModifiedBy>
  <dcterms:created xsi:type="dcterms:W3CDTF">2026-05-07T08:45:23Z</dcterms:created>
  <dcterms:modified xsi:type="dcterms:W3CDTF">2026-07-09T11:36:01Z</dcterms:modified>
</cp:coreProperties>
</file>